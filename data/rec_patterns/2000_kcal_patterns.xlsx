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data/rec_patterns/"/>
    </mc:Choice>
  </mc:AlternateContent>
  <xr:revisionPtr revIDLastSave="0" documentId="13_ncr:1_{5681D114-A8E9-7945-B9FF-C8BE52FD06EE}" xr6:coauthVersionLast="47" xr6:coauthVersionMax="47" xr10:uidLastSave="{00000000-0000-0000-0000-000000000000}"/>
  <bookViews>
    <workbookView xWindow="0" yWindow="0" windowWidth="35840" windowHeight="22400" xr2:uid="{784ED3A3-12CD-EB44-8C9F-39E5523AF868}"/>
  </bookViews>
  <sheets>
    <sheet name="DGA Patterns" sheetId="1" r:id="rId1"/>
    <sheet name="EAT-Lancet Patter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C18" i="7" s="1"/>
  <c r="C1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0" i="7"/>
  <c r="C21" i="7"/>
  <c r="C2" i="7"/>
  <c r="E21" i="1"/>
  <c r="E20" i="1"/>
  <c r="E15" i="1"/>
  <c r="E16" i="1"/>
  <c r="E13" i="1"/>
  <c r="E5" i="1"/>
  <c r="E4" i="1"/>
  <c r="E3" i="1"/>
  <c r="E2" i="1"/>
  <c r="D17" i="1"/>
  <c r="D21" i="1"/>
  <c r="D20" i="1"/>
  <c r="D14" i="1"/>
  <c r="D5" i="1"/>
  <c r="D4" i="1"/>
  <c r="D3" i="1"/>
  <c r="D2" i="1"/>
  <c r="C17" i="1"/>
  <c r="C20" i="1"/>
  <c r="C21" i="1"/>
  <c r="C14" i="1"/>
  <c r="C5" i="1"/>
  <c r="C4" i="1"/>
  <c r="C3" i="1"/>
  <c r="C2" i="1"/>
</calcChain>
</file>

<file path=xl/sharedStrings.xml><?xml version="1.0" encoding="utf-8"?>
<sst xmlns="http://schemas.openxmlformats.org/spreadsheetml/2006/main" count="142" uniqueCount="60">
  <si>
    <t>Food_Groups</t>
  </si>
  <si>
    <t>Intake_Unit</t>
  </si>
  <si>
    <t>cup eq/day</t>
  </si>
  <si>
    <t>ounce eq/day</t>
  </si>
  <si>
    <t>grams/day</t>
  </si>
  <si>
    <t>Dark-Green Vegetables</t>
  </si>
  <si>
    <t>Red and Orange Vegetables</t>
  </si>
  <si>
    <t>Beans, Peas, Lentils</t>
  </si>
  <si>
    <t>Starchy Vegetables</t>
  </si>
  <si>
    <t>Other Vegetables</t>
  </si>
  <si>
    <t xml:space="preserve">Whole Grains </t>
  </si>
  <si>
    <t xml:space="preserve">Refined Grains </t>
  </si>
  <si>
    <t>Dairy</t>
  </si>
  <si>
    <t xml:space="preserve">Seafood </t>
  </si>
  <si>
    <t xml:space="preserve">Oils </t>
  </si>
  <si>
    <t>US_2500kcal</t>
  </si>
  <si>
    <t>VEG_2500kcal</t>
  </si>
  <si>
    <t>MED_2500kcal</t>
  </si>
  <si>
    <t>Red Meat</t>
  </si>
  <si>
    <t>Poultry</t>
  </si>
  <si>
    <t>Eggs</t>
  </si>
  <si>
    <t>gr_refined</t>
  </si>
  <si>
    <t>gr_whole</t>
  </si>
  <si>
    <t>fruit_exc_juice</t>
  </si>
  <si>
    <t>fruit_juice</t>
  </si>
  <si>
    <t>veg_dg</t>
  </si>
  <si>
    <t>veg_oth</t>
  </si>
  <si>
    <t>veg_ro</t>
  </si>
  <si>
    <t>veg_sta</t>
  </si>
  <si>
    <t>pf_ns</t>
  </si>
  <si>
    <t>pf_soy</t>
  </si>
  <si>
    <t>pf_leg</t>
  </si>
  <si>
    <t>pf_egg</t>
  </si>
  <si>
    <t>pf_seafood</t>
  </si>
  <si>
    <t>added_sugar</t>
  </si>
  <si>
    <t>oil</t>
  </si>
  <si>
    <t>sat_fat</t>
  </si>
  <si>
    <t>Fruit Juice</t>
  </si>
  <si>
    <t>Whole Fruits</t>
  </si>
  <si>
    <t>Added Sugars</t>
  </si>
  <si>
    <t>Satuated Fat</t>
  </si>
  <si>
    <t>Nuts, Seeds</t>
  </si>
  <si>
    <t>Soy Products</t>
  </si>
  <si>
    <t>Diet_Factor</t>
  </si>
  <si>
    <t>LANCET_2500kcal</t>
  </si>
  <si>
    <t>leg_tot</t>
  </si>
  <si>
    <t>Beans, Peas, Lentils (incl. soy)</t>
  </si>
  <si>
    <t>US_2000kcal</t>
  </si>
  <si>
    <t>Notes</t>
  </si>
  <si>
    <t>Divide kcal by 4</t>
  </si>
  <si>
    <t>Divide kcal by 9</t>
  </si>
  <si>
    <t>MED_2000kcal</t>
  </si>
  <si>
    <t>VEG_2000kcal</t>
  </si>
  <si>
    <t>LANCET_2000kcal</t>
  </si>
  <si>
    <t>dairy_tot</t>
  </si>
  <si>
    <t>pf_redm_tot</t>
  </si>
  <si>
    <t>pf_poultry_tot</t>
  </si>
  <si>
    <t>232 grams (dry weight) = 232 * 2.13 = 494.16 grams (as-consumed weight)</t>
  </si>
  <si>
    <t>50 grams (dry weight) = 50 * 2.86 = 143 grams (as-consumed weight)</t>
  </si>
  <si>
    <t>Total fruit rec = 200 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</si>
</sst>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F92F-5627-7D4F-9A53-23934E07C77C}">
  <dimension ref="A1:J21"/>
  <sheetViews>
    <sheetView tabSelected="1" zoomScale="165" zoomScaleNormal="114" workbookViewId="0">
      <selection activeCell="A29" sqref="A29"/>
    </sheetView>
  </sheetViews>
  <sheetFormatPr baseColWidth="10" defaultRowHeight="16" x14ac:dyDescent="0.2"/>
  <cols>
    <col min="1" max="1" width="28.5" bestFit="1" customWidth="1"/>
    <col min="2" max="2" width="28.5" customWidth="1"/>
    <col min="3" max="5" width="15.83203125" customWidth="1"/>
    <col min="6" max="8" width="15.33203125" hidden="1" customWidth="1"/>
    <col min="9" max="9" width="13.6640625" bestFit="1" customWidth="1"/>
  </cols>
  <sheetData>
    <row r="1" spans="1:10" x14ac:dyDescent="0.2">
      <c r="A1" s="1" t="s">
        <v>0</v>
      </c>
      <c r="B1" s="1" t="s">
        <v>43</v>
      </c>
      <c r="C1" s="1" t="s">
        <v>47</v>
      </c>
      <c r="D1" s="1" t="s">
        <v>51</v>
      </c>
      <c r="E1" s="1" t="s">
        <v>52</v>
      </c>
      <c r="F1" s="3" t="s">
        <v>15</v>
      </c>
      <c r="G1" s="3" t="s">
        <v>17</v>
      </c>
      <c r="H1" s="3" t="s">
        <v>16</v>
      </c>
      <c r="I1" s="1" t="s">
        <v>1</v>
      </c>
      <c r="J1" s="3" t="s">
        <v>48</v>
      </c>
    </row>
    <row r="2" spans="1:10" x14ac:dyDescent="0.2">
      <c r="A2" t="s">
        <v>5</v>
      </c>
      <c r="B2" t="s">
        <v>25</v>
      </c>
      <c r="C2" s="2">
        <f>1.5/7</f>
        <v>0.21428571428571427</v>
      </c>
      <c r="D2" s="2">
        <f>1.5/7</f>
        <v>0.21428571428571427</v>
      </c>
      <c r="E2" s="2">
        <f>1.5/7</f>
        <v>0.21428571428571427</v>
      </c>
      <c r="F2" s="2">
        <v>0.32</v>
      </c>
      <c r="G2" s="2">
        <v>0.32</v>
      </c>
      <c r="H2" s="2">
        <v>0.32</v>
      </c>
      <c r="I2" t="s">
        <v>2</v>
      </c>
    </row>
    <row r="3" spans="1:10" x14ac:dyDescent="0.2">
      <c r="A3" t="s">
        <v>6</v>
      </c>
      <c r="B3" t="s">
        <v>27</v>
      </c>
      <c r="C3" s="2">
        <f>5.5/7</f>
        <v>0.7857142857142857</v>
      </c>
      <c r="D3" s="2">
        <f>5.5/7</f>
        <v>0.7857142857142857</v>
      </c>
      <c r="E3" s="2">
        <f>5.5/7</f>
        <v>0.7857142857142857</v>
      </c>
      <c r="F3" s="2">
        <v>0.93</v>
      </c>
      <c r="G3" s="2">
        <v>0.93</v>
      </c>
      <c r="H3" s="2">
        <v>0.93</v>
      </c>
      <c r="I3" t="s">
        <v>2</v>
      </c>
    </row>
    <row r="4" spans="1:10" x14ac:dyDescent="0.2">
      <c r="A4" t="s">
        <v>8</v>
      </c>
      <c r="B4" t="s">
        <v>28</v>
      </c>
      <c r="C4" s="2">
        <f>5/7</f>
        <v>0.7142857142857143</v>
      </c>
      <c r="D4" s="2">
        <f>5/7</f>
        <v>0.7142857142857143</v>
      </c>
      <c r="E4" s="2">
        <f>5/7</f>
        <v>0.7142857142857143</v>
      </c>
      <c r="F4" s="2">
        <v>0.93</v>
      </c>
      <c r="G4" s="2">
        <v>0.93</v>
      </c>
      <c r="H4" s="2">
        <v>0.93</v>
      </c>
      <c r="I4" t="s">
        <v>2</v>
      </c>
    </row>
    <row r="5" spans="1:10" x14ac:dyDescent="0.2">
      <c r="A5" t="s">
        <v>9</v>
      </c>
      <c r="B5" t="s">
        <v>26</v>
      </c>
      <c r="C5" s="2">
        <f>4/7</f>
        <v>0.5714285714285714</v>
      </c>
      <c r="D5" s="2">
        <f>4/7</f>
        <v>0.5714285714285714</v>
      </c>
      <c r="E5" s="2">
        <f>4/7</f>
        <v>0.5714285714285714</v>
      </c>
      <c r="F5" s="2">
        <v>0.75</v>
      </c>
      <c r="G5" s="2">
        <v>0.75</v>
      </c>
      <c r="H5" s="2">
        <v>0.75</v>
      </c>
      <c r="I5" t="s">
        <v>2</v>
      </c>
    </row>
    <row r="6" spans="1:10" x14ac:dyDescent="0.2">
      <c r="A6" t="s">
        <v>38</v>
      </c>
      <c r="B6" t="s">
        <v>23</v>
      </c>
      <c r="C6" s="2">
        <v>1.54</v>
      </c>
      <c r="D6" s="2">
        <v>1.92</v>
      </c>
      <c r="E6" s="2">
        <v>1.54</v>
      </c>
      <c r="F6" s="2">
        <v>1.51</v>
      </c>
      <c r="G6" s="2">
        <v>1.88</v>
      </c>
      <c r="H6" s="2">
        <v>1.51</v>
      </c>
      <c r="I6" t="s">
        <v>2</v>
      </c>
    </row>
    <row r="7" spans="1:10" x14ac:dyDescent="0.2">
      <c r="A7" t="s">
        <v>37</v>
      </c>
      <c r="B7" t="s">
        <v>24</v>
      </c>
      <c r="C7" s="2">
        <v>0.46</v>
      </c>
      <c r="D7" s="2">
        <v>0.57999999999999996</v>
      </c>
      <c r="E7" s="2">
        <v>0.46</v>
      </c>
      <c r="F7" s="2">
        <v>0.49</v>
      </c>
      <c r="G7" s="2">
        <v>0.62</v>
      </c>
      <c r="H7" s="2">
        <v>0.49</v>
      </c>
      <c r="I7" t="s">
        <v>2</v>
      </c>
    </row>
    <row r="8" spans="1:10" x14ac:dyDescent="0.2">
      <c r="A8" t="s">
        <v>10</v>
      </c>
      <c r="B8" t="s">
        <v>22</v>
      </c>
      <c r="C8" s="2">
        <v>3</v>
      </c>
      <c r="D8" s="2">
        <v>3</v>
      </c>
      <c r="E8" s="2">
        <v>3.5</v>
      </c>
      <c r="F8" s="2">
        <v>4.25</v>
      </c>
      <c r="G8" s="2">
        <v>4.25</v>
      </c>
      <c r="H8" s="2">
        <v>4.75</v>
      </c>
      <c r="I8" t="s">
        <v>3</v>
      </c>
    </row>
    <row r="9" spans="1:10" x14ac:dyDescent="0.2">
      <c r="A9" t="s">
        <v>11</v>
      </c>
      <c r="B9" t="s">
        <v>21</v>
      </c>
      <c r="C9" s="2">
        <v>3</v>
      </c>
      <c r="D9" s="2">
        <v>3</v>
      </c>
      <c r="E9" s="2">
        <v>3</v>
      </c>
      <c r="F9" s="2">
        <v>4.25</v>
      </c>
      <c r="G9" s="2">
        <v>4.25</v>
      </c>
      <c r="H9" s="2">
        <v>4.25</v>
      </c>
      <c r="I9" t="s">
        <v>3</v>
      </c>
    </row>
    <row r="10" spans="1:10" x14ac:dyDescent="0.2">
      <c r="A10" t="s">
        <v>12</v>
      </c>
      <c r="B10" t="s">
        <v>54</v>
      </c>
      <c r="C10" s="2">
        <v>3</v>
      </c>
      <c r="D10" s="2">
        <v>2</v>
      </c>
      <c r="E10" s="2">
        <v>3</v>
      </c>
      <c r="F10" s="2">
        <v>3</v>
      </c>
      <c r="G10" s="2">
        <v>2.5</v>
      </c>
      <c r="H10" s="2">
        <v>3</v>
      </c>
      <c r="I10" t="s">
        <v>2</v>
      </c>
    </row>
    <row r="11" spans="1:10" x14ac:dyDescent="0.2">
      <c r="A11" t="s">
        <v>18</v>
      </c>
      <c r="B11" t="s">
        <v>55</v>
      </c>
      <c r="C11" s="2">
        <v>1.77</v>
      </c>
      <c r="D11" s="2">
        <v>1.77</v>
      </c>
      <c r="E11" s="2">
        <v>0</v>
      </c>
      <c r="F11" s="2">
        <v>1.85</v>
      </c>
      <c r="G11" s="2">
        <v>1.85</v>
      </c>
      <c r="H11" s="2">
        <v>0</v>
      </c>
      <c r="I11" t="s">
        <v>3</v>
      </c>
    </row>
    <row r="12" spans="1:10" x14ac:dyDescent="0.2">
      <c r="A12" t="s">
        <v>19</v>
      </c>
      <c r="B12" t="s">
        <v>56</v>
      </c>
      <c r="C12" s="2">
        <v>1.46</v>
      </c>
      <c r="D12" s="2">
        <v>1.46</v>
      </c>
      <c r="E12" s="2">
        <v>0</v>
      </c>
      <c r="F12" s="2">
        <v>1.87</v>
      </c>
      <c r="G12" s="2">
        <v>1.87</v>
      </c>
      <c r="H12" s="2">
        <v>0</v>
      </c>
      <c r="I12" t="s">
        <v>3</v>
      </c>
    </row>
    <row r="13" spans="1:10" x14ac:dyDescent="0.2">
      <c r="A13" t="s">
        <v>20</v>
      </c>
      <c r="B13" t="s">
        <v>32</v>
      </c>
      <c r="C13" s="2">
        <v>0.48</v>
      </c>
      <c r="D13" s="2">
        <v>0.48</v>
      </c>
      <c r="E13" s="2">
        <f>3/7</f>
        <v>0.42857142857142855</v>
      </c>
      <c r="F13" s="2">
        <v>0.7</v>
      </c>
      <c r="G13" s="2">
        <v>0.7</v>
      </c>
      <c r="H13" s="2">
        <v>0.43</v>
      </c>
      <c r="I13" t="s">
        <v>3</v>
      </c>
    </row>
    <row r="14" spans="1:10" x14ac:dyDescent="0.2">
      <c r="A14" t="s">
        <v>13</v>
      </c>
      <c r="B14" t="s">
        <v>33</v>
      </c>
      <c r="C14" s="2">
        <f>8/7</f>
        <v>1.1428571428571428</v>
      </c>
      <c r="D14" s="2">
        <f>15/7</f>
        <v>2.1428571428571428</v>
      </c>
      <c r="E14" s="2">
        <v>0</v>
      </c>
      <c r="F14" s="2">
        <v>1.43</v>
      </c>
      <c r="G14" s="2">
        <v>2.36</v>
      </c>
      <c r="H14" s="2">
        <v>0</v>
      </c>
      <c r="I14" t="s">
        <v>3</v>
      </c>
    </row>
    <row r="15" spans="1:10" x14ac:dyDescent="0.2">
      <c r="A15" t="s">
        <v>41</v>
      </c>
      <c r="B15" t="s">
        <v>29</v>
      </c>
      <c r="C15" s="2">
        <v>0.63</v>
      </c>
      <c r="D15" s="2">
        <v>0.63</v>
      </c>
      <c r="E15" s="2">
        <f>1/1</f>
        <v>1</v>
      </c>
      <c r="F15" s="2">
        <v>0.63</v>
      </c>
      <c r="G15" s="2">
        <v>0.63</v>
      </c>
      <c r="H15" s="2">
        <v>1.21</v>
      </c>
      <c r="I15" t="s">
        <v>3</v>
      </c>
    </row>
    <row r="16" spans="1:10" x14ac:dyDescent="0.2">
      <c r="A16" t="s">
        <v>42</v>
      </c>
      <c r="B16" t="s">
        <v>30</v>
      </c>
      <c r="C16" s="2">
        <v>0.08</v>
      </c>
      <c r="D16" s="2">
        <v>0.08</v>
      </c>
      <c r="E16" s="2">
        <f>8/7</f>
        <v>1.1428571428571428</v>
      </c>
      <c r="F16" s="2">
        <v>0.08</v>
      </c>
      <c r="G16" s="2">
        <v>0.08</v>
      </c>
      <c r="H16" s="2">
        <v>1.36</v>
      </c>
      <c r="I16" t="s">
        <v>3</v>
      </c>
    </row>
    <row r="17" spans="1:10" x14ac:dyDescent="0.2">
      <c r="A17" t="s">
        <v>7</v>
      </c>
      <c r="B17" t="s">
        <v>31</v>
      </c>
      <c r="C17" s="2">
        <f>1.5/7</f>
        <v>0.21428571428571427</v>
      </c>
      <c r="D17" s="2">
        <f>1.5/7</f>
        <v>0.21428571428571427</v>
      </c>
      <c r="E17" s="2">
        <v>0.42</v>
      </c>
      <c r="F17" s="2">
        <v>0.32</v>
      </c>
      <c r="G17" s="2">
        <v>0.32</v>
      </c>
      <c r="H17" s="2">
        <v>0.64</v>
      </c>
      <c r="I17" t="s">
        <v>2</v>
      </c>
    </row>
    <row r="18" spans="1:10" x14ac:dyDescent="0.2">
      <c r="A18" t="s">
        <v>46</v>
      </c>
      <c r="B18" t="s">
        <v>45</v>
      </c>
      <c r="C18" s="2">
        <v>0.92</v>
      </c>
      <c r="D18" s="2">
        <v>0.92</v>
      </c>
      <c r="E18" s="2">
        <v>2.81</v>
      </c>
      <c r="F18" s="2">
        <v>1.36</v>
      </c>
      <c r="G18" s="2">
        <v>1.36</v>
      </c>
      <c r="H18" s="2">
        <v>3.92</v>
      </c>
      <c r="I18" t="s">
        <v>3</v>
      </c>
    </row>
    <row r="19" spans="1:10" x14ac:dyDescent="0.2">
      <c r="A19" t="s">
        <v>14</v>
      </c>
      <c r="B19" t="s">
        <v>35</v>
      </c>
      <c r="C19" s="2">
        <v>27</v>
      </c>
      <c r="D19" s="2">
        <v>27</v>
      </c>
      <c r="E19" s="2">
        <v>27</v>
      </c>
      <c r="F19" s="2">
        <v>32.5</v>
      </c>
      <c r="G19" s="2">
        <v>32.5</v>
      </c>
      <c r="H19" s="2">
        <v>32.5</v>
      </c>
      <c r="I19" t="s">
        <v>4</v>
      </c>
    </row>
    <row r="20" spans="1:10" x14ac:dyDescent="0.2">
      <c r="A20" t="s">
        <v>39</v>
      </c>
      <c r="B20" t="s">
        <v>34</v>
      </c>
      <c r="C20" s="2">
        <f>120/4</f>
        <v>30</v>
      </c>
      <c r="D20" s="2">
        <f>120/4</f>
        <v>30</v>
      </c>
      <c r="E20" s="2">
        <f>125/4</f>
        <v>31.25</v>
      </c>
      <c r="F20">
        <v>40.630000000000003</v>
      </c>
      <c r="G20">
        <v>37.5</v>
      </c>
      <c r="H20">
        <v>43.75</v>
      </c>
      <c r="I20" t="s">
        <v>4</v>
      </c>
      <c r="J20" t="s">
        <v>49</v>
      </c>
    </row>
    <row r="21" spans="1:10" x14ac:dyDescent="0.2">
      <c r="A21" t="s">
        <v>40</v>
      </c>
      <c r="B21" t="s">
        <v>36</v>
      </c>
      <c r="C21" s="2">
        <f>120/9</f>
        <v>13.333333333333334</v>
      </c>
      <c r="D21" s="2">
        <f>120/9</f>
        <v>13.333333333333334</v>
      </c>
      <c r="E21" s="2">
        <f>125/9</f>
        <v>13.888888888888889</v>
      </c>
      <c r="F21">
        <v>18.059999999999999</v>
      </c>
      <c r="G21">
        <v>16.670000000000002</v>
      </c>
      <c r="H21">
        <v>19.440000000000001</v>
      </c>
      <c r="I21" t="s">
        <v>4</v>
      </c>
      <c r="J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8385-5AF6-714B-B593-D2F32F944EC0}">
  <dimension ref="A1:F21"/>
  <sheetViews>
    <sheetView zoomScale="150" workbookViewId="0">
      <selection activeCell="B30" sqref="B30"/>
    </sheetView>
  </sheetViews>
  <sheetFormatPr baseColWidth="10" defaultRowHeight="16" x14ac:dyDescent="0.2"/>
  <cols>
    <col min="1" max="1" width="26" bestFit="1" customWidth="1"/>
    <col min="2" max="2" width="24.83203125" bestFit="1" customWidth="1"/>
    <col min="3" max="3" width="24.83203125" customWidth="1"/>
    <col min="4" max="4" width="15.83203125" bestFit="1" customWidth="1"/>
    <col min="6" max="6" width="64.5" bestFit="1" customWidth="1"/>
    <col min="7" max="7" width="13.1640625" bestFit="1" customWidth="1"/>
  </cols>
  <sheetData>
    <row r="1" spans="1:6" x14ac:dyDescent="0.2">
      <c r="A1" s="1" t="s">
        <v>0</v>
      </c>
      <c r="B1" s="1" t="s">
        <v>43</v>
      </c>
      <c r="C1" s="1" t="s">
        <v>53</v>
      </c>
      <c r="D1" s="3" t="s">
        <v>44</v>
      </c>
      <c r="E1" s="1" t="s">
        <v>1</v>
      </c>
      <c r="F1" s="1" t="s">
        <v>48</v>
      </c>
    </row>
    <row r="2" spans="1:6" x14ac:dyDescent="0.2">
      <c r="A2" t="s">
        <v>5</v>
      </c>
      <c r="B2" t="s">
        <v>25</v>
      </c>
      <c r="C2">
        <f>D2*0.8</f>
        <v>80</v>
      </c>
      <c r="D2" s="2">
        <v>100</v>
      </c>
      <c r="E2" t="s">
        <v>4</v>
      </c>
    </row>
    <row r="3" spans="1:6" x14ac:dyDescent="0.2">
      <c r="A3" t="s">
        <v>6</v>
      </c>
      <c r="B3" t="s">
        <v>27</v>
      </c>
      <c r="C3">
        <f t="shared" ref="C3:C21" si="0">D3*0.8</f>
        <v>80</v>
      </c>
      <c r="D3" s="2">
        <v>100</v>
      </c>
      <c r="E3" t="s">
        <v>4</v>
      </c>
    </row>
    <row r="4" spans="1:6" x14ac:dyDescent="0.2">
      <c r="A4" t="s">
        <v>8</v>
      </c>
      <c r="B4" t="s">
        <v>28</v>
      </c>
      <c r="C4">
        <f t="shared" si="0"/>
        <v>40</v>
      </c>
      <c r="D4" s="2">
        <v>50</v>
      </c>
      <c r="E4" t="s">
        <v>4</v>
      </c>
    </row>
    <row r="5" spans="1:6" x14ac:dyDescent="0.2">
      <c r="A5" t="s">
        <v>9</v>
      </c>
      <c r="B5" t="s">
        <v>26</v>
      </c>
      <c r="C5">
        <f t="shared" si="0"/>
        <v>80</v>
      </c>
      <c r="D5" s="2">
        <v>100</v>
      </c>
      <c r="E5" t="s">
        <v>4</v>
      </c>
    </row>
    <row r="6" spans="1:6" x14ac:dyDescent="0.2">
      <c r="A6" t="s">
        <v>38</v>
      </c>
      <c r="B6" t="s">
        <v>23</v>
      </c>
      <c r="C6">
        <f t="shared" si="0"/>
        <v>120.80000000000001</v>
      </c>
      <c r="D6" s="2">
        <v>151</v>
      </c>
      <c r="E6" t="s">
        <v>4</v>
      </c>
      <c r="F6" t="s">
        <v>59</v>
      </c>
    </row>
    <row r="7" spans="1:6" x14ac:dyDescent="0.2">
      <c r="A7" t="s">
        <v>37</v>
      </c>
      <c r="B7" t="s">
        <v>24</v>
      </c>
      <c r="C7">
        <f t="shared" si="0"/>
        <v>39.200000000000003</v>
      </c>
      <c r="D7" s="2">
        <v>49</v>
      </c>
      <c r="E7" t="s">
        <v>4</v>
      </c>
      <c r="F7" t="s">
        <v>59</v>
      </c>
    </row>
    <row r="8" spans="1:6" x14ac:dyDescent="0.2">
      <c r="A8" t="s">
        <v>10</v>
      </c>
      <c r="B8" t="s">
        <v>22</v>
      </c>
      <c r="C8">
        <f t="shared" si="0"/>
        <v>395.32800000000003</v>
      </c>
      <c r="D8" s="2">
        <v>494.16</v>
      </c>
      <c r="E8" t="s">
        <v>4</v>
      </c>
      <c r="F8" t="s">
        <v>57</v>
      </c>
    </row>
    <row r="9" spans="1:6" x14ac:dyDescent="0.2">
      <c r="A9" t="s">
        <v>11</v>
      </c>
      <c r="B9" t="s">
        <v>21</v>
      </c>
      <c r="C9">
        <f t="shared" si="0"/>
        <v>0</v>
      </c>
      <c r="D9" s="2">
        <v>0</v>
      </c>
      <c r="E9" t="s">
        <v>4</v>
      </c>
    </row>
    <row r="10" spans="1:6" x14ac:dyDescent="0.2">
      <c r="A10" t="s">
        <v>12</v>
      </c>
      <c r="B10" t="s">
        <v>54</v>
      </c>
      <c r="C10">
        <f t="shared" si="0"/>
        <v>200</v>
      </c>
      <c r="D10" s="2">
        <v>250</v>
      </c>
      <c r="E10" t="s">
        <v>4</v>
      </c>
    </row>
    <row r="11" spans="1:6" x14ac:dyDescent="0.2">
      <c r="A11" t="s">
        <v>18</v>
      </c>
      <c r="B11" t="s">
        <v>55</v>
      </c>
      <c r="C11">
        <f t="shared" si="0"/>
        <v>11.200000000000001</v>
      </c>
      <c r="D11" s="2">
        <v>14</v>
      </c>
      <c r="E11" t="s">
        <v>4</v>
      </c>
    </row>
    <row r="12" spans="1:6" x14ac:dyDescent="0.2">
      <c r="A12" t="s">
        <v>19</v>
      </c>
      <c r="B12" t="s">
        <v>56</v>
      </c>
      <c r="C12">
        <f t="shared" si="0"/>
        <v>23.200000000000003</v>
      </c>
      <c r="D12" s="2">
        <v>29</v>
      </c>
      <c r="E12" t="s">
        <v>4</v>
      </c>
    </row>
    <row r="13" spans="1:6" x14ac:dyDescent="0.2">
      <c r="A13" t="s">
        <v>20</v>
      </c>
      <c r="B13" t="s">
        <v>32</v>
      </c>
      <c r="C13">
        <f t="shared" si="0"/>
        <v>10.4</v>
      </c>
      <c r="D13" s="2">
        <v>13</v>
      </c>
      <c r="E13" t="s">
        <v>4</v>
      </c>
    </row>
    <row r="14" spans="1:6" x14ac:dyDescent="0.2">
      <c r="A14" t="s">
        <v>13</v>
      </c>
      <c r="B14" t="s">
        <v>33</v>
      </c>
      <c r="C14">
        <f t="shared" si="0"/>
        <v>22.400000000000002</v>
      </c>
      <c r="D14" s="2">
        <v>28</v>
      </c>
      <c r="E14" t="s">
        <v>4</v>
      </c>
    </row>
    <row r="15" spans="1:6" x14ac:dyDescent="0.2">
      <c r="A15" t="s">
        <v>41</v>
      </c>
      <c r="B15" t="s">
        <v>29</v>
      </c>
      <c r="C15">
        <f t="shared" si="0"/>
        <v>40</v>
      </c>
      <c r="D15" s="2">
        <v>50</v>
      </c>
      <c r="E15" t="s">
        <v>4</v>
      </c>
    </row>
    <row r="16" spans="1:6" x14ac:dyDescent="0.2">
      <c r="A16" t="s">
        <v>42</v>
      </c>
      <c r="B16" t="s">
        <v>30</v>
      </c>
      <c r="C16">
        <f t="shared" si="0"/>
        <v>20</v>
      </c>
      <c r="D16" s="2">
        <v>25</v>
      </c>
      <c r="E16" t="s">
        <v>4</v>
      </c>
    </row>
    <row r="17" spans="1:6" x14ac:dyDescent="0.2">
      <c r="A17" t="s">
        <v>7</v>
      </c>
      <c r="B17" t="s">
        <v>31</v>
      </c>
      <c r="C17">
        <f t="shared" si="0"/>
        <v>114.4</v>
      </c>
      <c r="D17" s="2">
        <v>143</v>
      </c>
      <c r="E17" t="s">
        <v>4</v>
      </c>
      <c r="F17" t="s">
        <v>58</v>
      </c>
    </row>
    <row r="18" spans="1:6" x14ac:dyDescent="0.2">
      <c r="A18" t="s">
        <v>46</v>
      </c>
      <c r="B18" t="s">
        <v>45</v>
      </c>
      <c r="C18">
        <f t="shared" si="0"/>
        <v>134.4</v>
      </c>
      <c r="D18" s="2">
        <f>SUM(D16, D17)</f>
        <v>168</v>
      </c>
      <c r="E18" t="s">
        <v>4</v>
      </c>
    </row>
    <row r="19" spans="1:6" x14ac:dyDescent="0.2">
      <c r="A19" t="s">
        <v>14</v>
      </c>
      <c r="B19" t="s">
        <v>35</v>
      </c>
      <c r="C19">
        <f t="shared" si="0"/>
        <v>32</v>
      </c>
      <c r="D19" s="2">
        <v>40</v>
      </c>
      <c r="E19" t="s">
        <v>4</v>
      </c>
    </row>
    <row r="20" spans="1:6" x14ac:dyDescent="0.2">
      <c r="A20" t="s">
        <v>39</v>
      </c>
      <c r="B20" t="s">
        <v>34</v>
      </c>
      <c r="C20">
        <f t="shared" si="0"/>
        <v>24.8</v>
      </c>
      <c r="D20">
        <v>31</v>
      </c>
      <c r="E20" t="s">
        <v>4</v>
      </c>
    </row>
    <row r="21" spans="1:6" x14ac:dyDescent="0.2">
      <c r="A21" t="s">
        <v>40</v>
      </c>
      <c r="B21" t="s">
        <v>36</v>
      </c>
      <c r="C21" s="4">
        <f t="shared" si="0"/>
        <v>9.4400000000000013</v>
      </c>
      <c r="D21" s="2">
        <v>11.8</v>
      </c>
      <c r="E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DGA Patterns</vt:lpstr>
      <vt:lpstr>EAT-Lancet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Bell, Brooke</cp:lastModifiedBy>
  <dcterms:created xsi:type="dcterms:W3CDTF">2023-08-25T15:59:20Z</dcterms:created>
  <dcterms:modified xsi:type="dcterms:W3CDTF">2025-06-25T19:16:58Z</dcterms:modified>
</cp:coreProperties>
</file>